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morrison/Documents/CRM_manuscripts_essays/Bitta_alipes_Coreidae_cyanide_chemistry/MS/"/>
    </mc:Choice>
  </mc:AlternateContent>
  <xr:revisionPtr revIDLastSave="0" documentId="13_ncr:1_{0C5BE707-DA08-B74E-B8D1-26674F57F9DF}" xr6:coauthVersionLast="47" xr6:coauthVersionMax="47" xr10:uidLastSave="{00000000-0000-0000-0000-000000000000}"/>
  <bookViews>
    <workbookView xWindow="4400" yWindow="2360" windowWidth="24400" windowHeight="15640" xr2:uid="{1C9D272F-3C8A-924F-83AC-01B92CE05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" i="1"/>
  <c r="N24" i="1"/>
  <c r="O24" i="1" s="1"/>
  <c r="P24" i="1" s="1"/>
  <c r="Q24" i="1" s="1"/>
  <c r="N23" i="1"/>
  <c r="O23" i="1" s="1"/>
  <c r="P23" i="1" s="1"/>
  <c r="Q23" i="1" s="1"/>
  <c r="N22" i="1"/>
  <c r="O22" i="1" s="1"/>
  <c r="P22" i="1" s="1"/>
  <c r="Q22" i="1" s="1"/>
  <c r="N21" i="1"/>
  <c r="O21" i="1" s="1"/>
  <c r="P21" i="1" s="1"/>
  <c r="Q21" i="1" s="1"/>
  <c r="N20" i="1"/>
  <c r="O20" i="1" s="1"/>
  <c r="P20" i="1" s="1"/>
  <c r="Q20" i="1" s="1"/>
  <c r="N19" i="1"/>
  <c r="O19" i="1" s="1"/>
  <c r="P19" i="1" s="1"/>
  <c r="Q19" i="1" s="1"/>
  <c r="N18" i="1"/>
  <c r="O18" i="1" s="1"/>
  <c r="P18" i="1" s="1"/>
  <c r="Q18" i="1" s="1"/>
  <c r="N17" i="1"/>
  <c r="O17" i="1" s="1"/>
  <c r="P17" i="1" s="1"/>
  <c r="Q17" i="1" s="1"/>
  <c r="N16" i="1"/>
  <c r="O16" i="1" s="1"/>
  <c r="P16" i="1" s="1"/>
  <c r="Q16" i="1" s="1"/>
  <c r="N15" i="1"/>
  <c r="O15" i="1" s="1"/>
  <c r="P15" i="1" s="1"/>
  <c r="Q15" i="1" s="1"/>
  <c r="N14" i="1"/>
  <c r="O14" i="1" s="1"/>
  <c r="P14" i="1" s="1"/>
  <c r="Q14" i="1" s="1"/>
  <c r="N13" i="1"/>
  <c r="O13" i="1" s="1"/>
  <c r="P13" i="1" s="1"/>
  <c r="Q13" i="1" s="1"/>
  <c r="N12" i="1"/>
  <c r="O12" i="1" s="1"/>
  <c r="P12" i="1" s="1"/>
  <c r="Q12" i="1" s="1"/>
  <c r="N11" i="1"/>
  <c r="O11" i="1" s="1"/>
  <c r="P11" i="1" s="1"/>
  <c r="Q11" i="1" s="1"/>
  <c r="N10" i="1"/>
  <c r="O10" i="1" s="1"/>
  <c r="P10" i="1" s="1"/>
  <c r="Q10" i="1" s="1"/>
  <c r="N9" i="1"/>
  <c r="O9" i="1" s="1"/>
  <c r="I9" i="1"/>
  <c r="N8" i="1"/>
  <c r="O8" i="1" s="1"/>
  <c r="I8" i="1"/>
  <c r="N7" i="1"/>
  <c r="O7" i="1" s="1"/>
  <c r="I7" i="1"/>
  <c r="N6" i="1"/>
  <c r="O6" i="1" s="1"/>
  <c r="I6" i="1"/>
  <c r="N5" i="1"/>
  <c r="O5" i="1" s="1"/>
  <c r="I5" i="1"/>
  <c r="N4" i="1"/>
  <c r="O4" i="1" s="1"/>
  <c r="I4" i="1"/>
  <c r="N3" i="1"/>
  <c r="O3" i="1" s="1"/>
  <c r="I3" i="1"/>
  <c r="N2" i="1"/>
  <c r="O2" i="1" s="1"/>
  <c r="I2" i="1"/>
  <c r="Q6" i="1" l="1"/>
  <c r="Q2" i="1"/>
  <c r="Q9" i="1"/>
  <c r="Q3" i="1"/>
  <c r="Q4" i="1"/>
  <c r="Q7" i="1"/>
  <c r="Q8" i="1"/>
  <c r="Q5" i="1"/>
</calcChain>
</file>

<file path=xl/sharedStrings.xml><?xml version="1.0" encoding="utf-8"?>
<sst xmlns="http://schemas.openxmlformats.org/spreadsheetml/2006/main" count="102" uniqueCount="38">
  <si>
    <t>number</t>
  </si>
  <si>
    <t>species</t>
  </si>
  <si>
    <t>locality</t>
  </si>
  <si>
    <t>host</t>
  </si>
  <si>
    <t>sex</t>
  </si>
  <si>
    <t>life_stage</t>
  </si>
  <si>
    <t>frozen_date</t>
  </si>
  <si>
    <t>extraction_date</t>
  </si>
  <si>
    <t>mass_mg</t>
  </si>
  <si>
    <t>abs1</t>
  </si>
  <si>
    <t>abs2</t>
  </si>
  <si>
    <t>abs3</t>
  </si>
  <si>
    <t>abs4</t>
  </si>
  <si>
    <t>absAVG</t>
  </si>
  <si>
    <t>ug</t>
  </si>
  <si>
    <t>ug_corrected</t>
  </si>
  <si>
    <t>concen_ug_mg</t>
  </si>
  <si>
    <t>A_alipes</t>
  </si>
  <si>
    <t>La Selva</t>
  </si>
  <si>
    <t>P_ambigua</t>
  </si>
  <si>
    <t>female</t>
  </si>
  <si>
    <t>adult</t>
  </si>
  <si>
    <t>male</t>
  </si>
  <si>
    <t>P_biflora</t>
  </si>
  <si>
    <t>P_auriculata</t>
  </si>
  <si>
    <t>P_oerstedii</t>
  </si>
  <si>
    <t>5a</t>
  </si>
  <si>
    <t>P_pittieri</t>
  </si>
  <si>
    <t>5b</t>
  </si>
  <si>
    <t>P_costaricensis</t>
  </si>
  <si>
    <t>A_terminalis</t>
  </si>
  <si>
    <t>BFL</t>
  </si>
  <si>
    <t>N_femorata</t>
  </si>
  <si>
    <t>Goliad</t>
  </si>
  <si>
    <t>C_vittiger</t>
  </si>
  <si>
    <t>Mad Island WMA</t>
  </si>
  <si>
    <t>nymph</t>
  </si>
  <si>
    <t>concen_umol_g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</si>
</sst>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1155CC"/>
      <name val="Inconsolata"/>
    </font>
    <font>
      <sz val="10"/>
      <color rgb="FF000000"/>
      <name val="Aptos Narrow"/>
      <family val="2"/>
      <scheme val="minor"/>
    </font>
    <font>
      <u/>
      <sz val="10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1155CC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1DCB-752E-0845-926E-9922F719BD38}">
  <dimension ref="A1:R34"/>
  <sheetViews>
    <sheetView tabSelected="1" topLeftCell="B1" workbookViewId="0">
      <pane ySplit="1" topLeftCell="A2" activePane="bottomLeft" state="frozen"/>
      <selection pane="bottomLeft" activeCell="S4" sqref="S4"/>
    </sheetView>
  </sheetViews>
  <sheetFormatPr baseColWidth="10" defaultRowHeight="16" x14ac:dyDescent="0.2"/>
  <cols>
    <col min="18" max="18" width="13.1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37</v>
      </c>
    </row>
    <row r="2" spans="1:18" x14ac:dyDescent="0.2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>
        <v>43709</v>
      </c>
      <c r="H2" s="4">
        <v>43785</v>
      </c>
      <c r="I2" s="2">
        <f>1180.8-1137.2</f>
        <v>43.599999999999909</v>
      </c>
      <c r="J2" s="2">
        <v>0</v>
      </c>
      <c r="K2" s="2">
        <v>0</v>
      </c>
      <c r="L2" s="2">
        <v>0</v>
      </c>
      <c r="M2" s="2">
        <v>0</v>
      </c>
      <c r="N2" s="1">
        <f t="shared" ref="N2:N24" si="0">AVERAGE(J2:M2)</f>
        <v>0</v>
      </c>
      <c r="O2" s="12">
        <f t="shared" ref="O2:O9" si="1">(35.19469936*N2)-0.0300818</f>
        <v>-3.0081799999999999E-2</v>
      </c>
      <c r="P2" s="12">
        <v>0</v>
      </c>
      <c r="Q2" s="2">
        <f t="shared" ref="Q2:Q24" si="2">P2/I2</f>
        <v>0</v>
      </c>
      <c r="R2">
        <f>Q2*(1000/26.02)</f>
        <v>0</v>
      </c>
    </row>
    <row r="3" spans="1:18" x14ac:dyDescent="0.2">
      <c r="A3" s="2">
        <v>2</v>
      </c>
      <c r="B3" s="2" t="s">
        <v>17</v>
      </c>
      <c r="C3" s="2" t="s">
        <v>18</v>
      </c>
      <c r="D3" s="2" t="s">
        <v>19</v>
      </c>
      <c r="E3" s="2" t="s">
        <v>22</v>
      </c>
      <c r="F3" s="2" t="s">
        <v>21</v>
      </c>
      <c r="G3" s="3">
        <v>43710</v>
      </c>
      <c r="H3" s="4">
        <v>43785</v>
      </c>
      <c r="I3" s="2">
        <f>1155.5-1119.6</f>
        <v>35.900000000000091</v>
      </c>
      <c r="J3" s="2">
        <v>0</v>
      </c>
      <c r="K3" s="2">
        <v>0</v>
      </c>
      <c r="L3" s="2">
        <v>0</v>
      </c>
      <c r="M3" s="2">
        <v>0</v>
      </c>
      <c r="N3" s="1">
        <f t="shared" si="0"/>
        <v>0</v>
      </c>
      <c r="O3" s="12">
        <f t="shared" si="1"/>
        <v>-3.0081799999999999E-2</v>
      </c>
      <c r="P3" s="12">
        <v>0</v>
      </c>
      <c r="Q3" s="2">
        <f t="shared" si="2"/>
        <v>0</v>
      </c>
      <c r="R3">
        <f t="shared" ref="R3:R24" si="3">Q3*(1000/26.02)</f>
        <v>0</v>
      </c>
    </row>
    <row r="4" spans="1:18" x14ac:dyDescent="0.2">
      <c r="A4" s="2">
        <v>3</v>
      </c>
      <c r="B4" s="2" t="s">
        <v>17</v>
      </c>
      <c r="C4" s="2" t="s">
        <v>18</v>
      </c>
      <c r="D4" s="2" t="s">
        <v>19</v>
      </c>
      <c r="E4" s="2" t="s">
        <v>22</v>
      </c>
      <c r="F4" s="2" t="s">
        <v>21</v>
      </c>
      <c r="G4" s="3">
        <v>43711</v>
      </c>
      <c r="H4" s="4">
        <v>43785</v>
      </c>
      <c r="I4" s="2">
        <f>1158.7-1118.3</f>
        <v>40.400000000000091</v>
      </c>
      <c r="J4" s="2">
        <v>0</v>
      </c>
      <c r="K4" s="2">
        <v>0</v>
      </c>
      <c r="L4" s="2">
        <v>0</v>
      </c>
      <c r="M4" s="2">
        <v>0</v>
      </c>
      <c r="N4" s="1">
        <f t="shared" si="0"/>
        <v>0</v>
      </c>
      <c r="O4" s="12">
        <f t="shared" si="1"/>
        <v>-3.0081799999999999E-2</v>
      </c>
      <c r="P4" s="12">
        <v>0</v>
      </c>
      <c r="Q4" s="2">
        <f t="shared" si="2"/>
        <v>0</v>
      </c>
      <c r="R4">
        <f t="shared" si="3"/>
        <v>0</v>
      </c>
    </row>
    <row r="5" spans="1:18" x14ac:dyDescent="0.2">
      <c r="A5" s="2">
        <v>4</v>
      </c>
      <c r="B5" s="2" t="s">
        <v>17</v>
      </c>
      <c r="C5" s="2" t="s">
        <v>18</v>
      </c>
      <c r="D5" s="2" t="s">
        <v>19</v>
      </c>
      <c r="E5" s="2"/>
      <c r="F5" s="2">
        <v>5</v>
      </c>
      <c r="G5" s="3">
        <v>43712</v>
      </c>
      <c r="H5" s="4">
        <v>43785</v>
      </c>
      <c r="I5" s="2">
        <f>1150-1118.3</f>
        <v>31.700000000000045</v>
      </c>
      <c r="J5" s="2">
        <v>0</v>
      </c>
      <c r="K5" s="2">
        <v>0</v>
      </c>
      <c r="L5" s="2">
        <v>0</v>
      </c>
      <c r="M5" s="2">
        <v>0</v>
      </c>
      <c r="N5" s="1">
        <f t="shared" si="0"/>
        <v>0</v>
      </c>
      <c r="O5" s="12">
        <f t="shared" si="1"/>
        <v>-3.0081799999999999E-2</v>
      </c>
      <c r="P5" s="12">
        <v>0</v>
      </c>
      <c r="Q5" s="2">
        <f t="shared" si="2"/>
        <v>0</v>
      </c>
      <c r="R5">
        <f t="shared" si="3"/>
        <v>0</v>
      </c>
    </row>
    <row r="6" spans="1:18" x14ac:dyDescent="0.2">
      <c r="A6" s="2">
        <v>5</v>
      </c>
      <c r="B6" s="2" t="s">
        <v>17</v>
      </c>
      <c r="C6" s="2" t="s">
        <v>18</v>
      </c>
      <c r="D6" s="2" t="s">
        <v>19</v>
      </c>
      <c r="E6" s="2"/>
      <c r="F6" s="2">
        <v>3</v>
      </c>
      <c r="G6" s="3">
        <v>43713</v>
      </c>
      <c r="H6" s="4">
        <v>43785</v>
      </c>
      <c r="I6" s="2">
        <f>1120.8-1119.7</f>
        <v>1.0999999999999091</v>
      </c>
      <c r="J6" s="2">
        <v>0</v>
      </c>
      <c r="K6" s="2">
        <v>0</v>
      </c>
      <c r="L6" s="2">
        <v>0</v>
      </c>
      <c r="M6" s="2">
        <v>0</v>
      </c>
      <c r="N6" s="1">
        <f t="shared" si="0"/>
        <v>0</v>
      </c>
      <c r="O6" s="12">
        <f t="shared" si="1"/>
        <v>-3.0081799999999999E-2</v>
      </c>
      <c r="P6" s="12">
        <v>0</v>
      </c>
      <c r="Q6" s="2">
        <f t="shared" si="2"/>
        <v>0</v>
      </c>
      <c r="R6">
        <f t="shared" si="3"/>
        <v>0</v>
      </c>
    </row>
    <row r="7" spans="1:18" x14ac:dyDescent="0.2">
      <c r="A7" s="2">
        <v>6</v>
      </c>
      <c r="B7" s="2" t="s">
        <v>17</v>
      </c>
      <c r="C7" s="2" t="s">
        <v>18</v>
      </c>
      <c r="D7" s="2" t="s">
        <v>19</v>
      </c>
      <c r="E7" s="2"/>
      <c r="F7" s="2">
        <v>2</v>
      </c>
      <c r="G7" s="3">
        <v>43714</v>
      </c>
      <c r="H7" s="4">
        <v>43785</v>
      </c>
      <c r="I7" s="2">
        <f>1127.3-1126.1</f>
        <v>1.2000000000000455</v>
      </c>
      <c r="J7" s="2">
        <v>0</v>
      </c>
      <c r="K7" s="2">
        <v>0</v>
      </c>
      <c r="L7" s="2">
        <v>0</v>
      </c>
      <c r="M7" s="2">
        <v>0</v>
      </c>
      <c r="N7" s="1">
        <f t="shared" si="0"/>
        <v>0</v>
      </c>
      <c r="O7" s="12">
        <f t="shared" si="1"/>
        <v>-3.0081799999999999E-2</v>
      </c>
      <c r="P7" s="12">
        <v>0</v>
      </c>
      <c r="Q7" s="2">
        <f t="shared" si="2"/>
        <v>0</v>
      </c>
      <c r="R7">
        <f t="shared" si="3"/>
        <v>0</v>
      </c>
    </row>
    <row r="8" spans="1:18" x14ac:dyDescent="0.2">
      <c r="A8" s="2">
        <v>7</v>
      </c>
      <c r="B8" s="2" t="s">
        <v>17</v>
      </c>
      <c r="C8" s="2" t="s">
        <v>18</v>
      </c>
      <c r="D8" s="2" t="s">
        <v>19</v>
      </c>
      <c r="E8" s="2"/>
      <c r="F8" s="2">
        <v>2</v>
      </c>
      <c r="G8" s="3">
        <v>43715</v>
      </c>
      <c r="H8" s="4">
        <v>43785</v>
      </c>
      <c r="I8" s="2">
        <f>1123.4-1122.5</f>
        <v>0.90000000000009095</v>
      </c>
      <c r="J8" s="2">
        <v>0</v>
      </c>
      <c r="K8" s="2">
        <v>0</v>
      </c>
      <c r="L8" s="2">
        <v>0</v>
      </c>
      <c r="M8" s="2">
        <v>0</v>
      </c>
      <c r="N8" s="1">
        <f t="shared" si="0"/>
        <v>0</v>
      </c>
      <c r="O8" s="12">
        <f t="shared" si="1"/>
        <v>-3.0081799999999999E-2</v>
      </c>
      <c r="P8" s="12">
        <v>0</v>
      </c>
      <c r="Q8" s="2">
        <f t="shared" si="2"/>
        <v>0</v>
      </c>
      <c r="R8">
        <f t="shared" si="3"/>
        <v>0</v>
      </c>
    </row>
    <row r="9" spans="1:18" x14ac:dyDescent="0.2">
      <c r="A9" s="2">
        <v>8</v>
      </c>
      <c r="B9" s="2" t="s">
        <v>17</v>
      </c>
      <c r="C9" s="2" t="s">
        <v>18</v>
      </c>
      <c r="D9" s="2" t="s">
        <v>19</v>
      </c>
      <c r="E9" s="2"/>
      <c r="F9" s="2">
        <v>2</v>
      </c>
      <c r="G9" s="3">
        <v>43716</v>
      </c>
      <c r="H9" s="4">
        <v>43785</v>
      </c>
      <c r="I9" s="2">
        <f>1120.3-1119.3</f>
        <v>1</v>
      </c>
      <c r="J9" s="2">
        <v>0</v>
      </c>
      <c r="K9" s="2">
        <v>0</v>
      </c>
      <c r="L9" s="2">
        <v>0</v>
      </c>
      <c r="M9" s="2">
        <v>0</v>
      </c>
      <c r="N9" s="1">
        <f t="shared" si="0"/>
        <v>0</v>
      </c>
      <c r="O9" s="12">
        <f t="shared" si="1"/>
        <v>-3.0081799999999999E-2</v>
      </c>
      <c r="P9" s="12">
        <v>0</v>
      </c>
      <c r="Q9" s="2">
        <f t="shared" si="2"/>
        <v>0</v>
      </c>
      <c r="R9">
        <f t="shared" si="3"/>
        <v>0</v>
      </c>
    </row>
    <row r="10" spans="1:18" x14ac:dyDescent="0.2">
      <c r="A10" s="2">
        <v>4</v>
      </c>
      <c r="B10" s="2" t="s">
        <v>17</v>
      </c>
      <c r="C10" s="2" t="s">
        <v>18</v>
      </c>
      <c r="D10" s="7" t="s">
        <v>23</v>
      </c>
      <c r="E10" s="2"/>
      <c r="F10" s="2">
        <v>3</v>
      </c>
      <c r="G10" s="2">
        <v>2020</v>
      </c>
      <c r="H10" s="4">
        <v>45524</v>
      </c>
      <c r="I10" s="9">
        <v>61</v>
      </c>
      <c r="J10" s="2">
        <v>-2.1999999999999999E-2</v>
      </c>
      <c r="K10" s="2">
        <v>-2.4E-2</v>
      </c>
      <c r="L10" s="2">
        <v>-2.1999999999999999E-2</v>
      </c>
      <c r="M10" s="2">
        <v>-0.01</v>
      </c>
      <c r="N10" s="1">
        <f t="shared" si="0"/>
        <v>-1.95E-2</v>
      </c>
      <c r="O10" s="12">
        <f>(9.1907*N10)+0.247</f>
        <v>6.7781350000000018E-2</v>
      </c>
      <c r="P10" s="12">
        <f t="shared" ref="P2:P24" si="4">O10*72</f>
        <v>4.8802572000000009</v>
      </c>
      <c r="Q10" s="2">
        <f t="shared" si="2"/>
        <v>8.0004216393442643E-2</v>
      </c>
      <c r="R10">
        <f t="shared" si="3"/>
        <v>3.0747200766119387</v>
      </c>
    </row>
    <row r="11" spans="1:18" x14ac:dyDescent="0.2">
      <c r="A11" s="2">
        <v>6</v>
      </c>
      <c r="B11" s="2" t="s">
        <v>17</v>
      </c>
      <c r="C11" s="2" t="s">
        <v>18</v>
      </c>
      <c r="D11" s="7" t="s">
        <v>24</v>
      </c>
      <c r="E11" s="7" t="s">
        <v>22</v>
      </c>
      <c r="F11" s="2" t="s">
        <v>21</v>
      </c>
      <c r="G11" s="2">
        <v>2020</v>
      </c>
      <c r="H11" s="4">
        <v>45524</v>
      </c>
      <c r="I11" s="2">
        <v>52</v>
      </c>
      <c r="J11" s="2">
        <v>-4.0000000000000001E-3</v>
      </c>
      <c r="K11" s="2">
        <v>0</v>
      </c>
      <c r="L11" s="2">
        <v>-8.0000000000000002E-3</v>
      </c>
      <c r="M11" s="2">
        <v>1.4E-2</v>
      </c>
      <c r="N11" s="1">
        <f t="shared" si="0"/>
        <v>5.0000000000000001E-4</v>
      </c>
      <c r="O11" s="12">
        <f>(9.1907*N11)+0.247</f>
        <v>0.25159535</v>
      </c>
      <c r="P11" s="12">
        <f t="shared" si="4"/>
        <v>18.114865200000001</v>
      </c>
      <c r="Q11" s="2">
        <f t="shared" si="2"/>
        <v>0.34836279230769229</v>
      </c>
      <c r="R11">
        <f t="shared" si="3"/>
        <v>13.388270265476262</v>
      </c>
    </row>
    <row r="12" spans="1:18" x14ac:dyDescent="0.2">
      <c r="A12" s="2">
        <v>7</v>
      </c>
      <c r="B12" s="2" t="s">
        <v>17</v>
      </c>
      <c r="C12" s="2" t="s">
        <v>18</v>
      </c>
      <c r="D12" s="7" t="s">
        <v>25</v>
      </c>
      <c r="E12" s="2"/>
      <c r="F12" s="2">
        <v>3</v>
      </c>
      <c r="G12" s="2">
        <v>2020</v>
      </c>
      <c r="H12" s="4">
        <v>45524</v>
      </c>
      <c r="I12" s="2">
        <v>12.2</v>
      </c>
      <c r="J12" s="2">
        <v>-2.3E-2</v>
      </c>
      <c r="K12" s="2">
        <v>-8.9999999999999993E-3</v>
      </c>
      <c r="L12" s="2">
        <v>-1.9E-2</v>
      </c>
      <c r="M12" s="2">
        <v>1.0999999999999999E-2</v>
      </c>
      <c r="N12" s="1">
        <f t="shared" si="0"/>
        <v>-1.0000000000000002E-2</v>
      </c>
      <c r="O12" s="12">
        <f>(9.1907*N12)+0.247</f>
        <v>0.15509299999999998</v>
      </c>
      <c r="P12" s="12">
        <f t="shared" si="4"/>
        <v>11.166695999999998</v>
      </c>
      <c r="Q12" s="2">
        <f t="shared" si="2"/>
        <v>0.91530295081967206</v>
      </c>
      <c r="R12">
        <f t="shared" si="3"/>
        <v>35.176900492685327</v>
      </c>
    </row>
    <row r="13" spans="1:18" x14ac:dyDescent="0.2">
      <c r="A13" s="2" t="s">
        <v>26</v>
      </c>
      <c r="B13" s="2" t="s">
        <v>17</v>
      </c>
      <c r="C13" s="2" t="s">
        <v>18</v>
      </c>
      <c r="D13" s="7" t="s">
        <v>27</v>
      </c>
      <c r="E13" s="2"/>
      <c r="F13" s="2" t="s">
        <v>21</v>
      </c>
      <c r="G13" s="2">
        <v>2020</v>
      </c>
      <c r="H13" s="4">
        <v>45521</v>
      </c>
      <c r="I13" s="2">
        <v>72</v>
      </c>
      <c r="J13" s="2">
        <v>3.4000000000000002E-2</v>
      </c>
      <c r="K13" s="2">
        <v>2.5999999999999999E-2</v>
      </c>
      <c r="L13" s="2">
        <v>2.1999999999999999E-2</v>
      </c>
      <c r="M13" s="2">
        <v>2.5999999999999999E-2</v>
      </c>
      <c r="N13" s="1">
        <f t="shared" si="0"/>
        <v>2.6999999999999996E-2</v>
      </c>
      <c r="O13" s="2">
        <f>(17.33*N13)-0.0611</f>
        <v>0.40680999999999989</v>
      </c>
      <c r="P13" s="12">
        <f t="shared" si="4"/>
        <v>29.290319999999994</v>
      </c>
      <c r="Q13" s="2">
        <f t="shared" si="2"/>
        <v>0.40680999999999989</v>
      </c>
      <c r="R13">
        <f t="shared" si="3"/>
        <v>15.634511913912373</v>
      </c>
    </row>
    <row r="14" spans="1:18" x14ac:dyDescent="0.2">
      <c r="A14" s="2" t="s">
        <v>28</v>
      </c>
      <c r="B14" s="2" t="s">
        <v>17</v>
      </c>
      <c r="C14" s="2" t="s">
        <v>18</v>
      </c>
      <c r="D14" s="7" t="s">
        <v>27</v>
      </c>
      <c r="E14" s="2"/>
      <c r="F14" s="2" t="s">
        <v>21</v>
      </c>
      <c r="G14" s="2">
        <v>2020</v>
      </c>
      <c r="H14" s="4">
        <v>45607</v>
      </c>
      <c r="I14" s="2">
        <v>97.4</v>
      </c>
      <c r="J14" s="2">
        <v>1.7000000000000001E-2</v>
      </c>
      <c r="K14" s="2">
        <v>1.2999999999999999E-2</v>
      </c>
      <c r="L14" s="2">
        <v>1.2999999999999999E-2</v>
      </c>
      <c r="M14" s="2">
        <v>1.4E-2</v>
      </c>
      <c r="N14" s="1">
        <f t="shared" si="0"/>
        <v>1.4249999999999999E-2</v>
      </c>
      <c r="O14" s="2">
        <f t="shared" ref="O14:O24" si="5">(38.34*N14)-0.0027</f>
        <v>0.54364499999999993</v>
      </c>
      <c r="P14" s="12">
        <f t="shared" si="4"/>
        <v>39.142439999999993</v>
      </c>
      <c r="Q14" s="2">
        <f t="shared" si="2"/>
        <v>0.40187310061601633</v>
      </c>
      <c r="R14">
        <f t="shared" si="3"/>
        <v>15.444777118217385</v>
      </c>
    </row>
    <row r="15" spans="1:18" x14ac:dyDescent="0.2">
      <c r="A15" s="2">
        <v>3</v>
      </c>
      <c r="B15" s="2" t="s">
        <v>17</v>
      </c>
      <c r="C15" s="2" t="s">
        <v>18</v>
      </c>
      <c r="D15" s="7" t="s">
        <v>29</v>
      </c>
      <c r="E15" s="2"/>
      <c r="F15" s="2"/>
      <c r="G15" s="2">
        <v>2020</v>
      </c>
      <c r="H15" s="4">
        <v>45607</v>
      </c>
      <c r="I15" s="2">
        <v>76.7</v>
      </c>
      <c r="J15" s="2">
        <v>6.0000000000000001E-3</v>
      </c>
      <c r="K15" s="2">
        <v>7.0000000000000001E-3</v>
      </c>
      <c r="L15" s="2">
        <v>7.0000000000000001E-3</v>
      </c>
      <c r="M15" s="2">
        <v>8.0000000000000002E-3</v>
      </c>
      <c r="N15" s="1">
        <f t="shared" si="0"/>
        <v>7.0000000000000001E-3</v>
      </c>
      <c r="O15" s="2">
        <f t="shared" si="5"/>
        <v>0.26568000000000003</v>
      </c>
      <c r="P15" s="12">
        <f t="shared" si="4"/>
        <v>19.128960000000003</v>
      </c>
      <c r="Q15" s="2">
        <f t="shared" si="2"/>
        <v>0.24939973924380707</v>
      </c>
      <c r="R15">
        <f t="shared" si="3"/>
        <v>9.5849246442662217</v>
      </c>
    </row>
    <row r="16" spans="1:18" x14ac:dyDescent="0.2">
      <c r="A16" s="2">
        <v>2</v>
      </c>
      <c r="B16" s="2" t="s">
        <v>30</v>
      </c>
      <c r="C16" s="2" t="s">
        <v>31</v>
      </c>
      <c r="D16" s="2"/>
      <c r="E16" s="7" t="s">
        <v>20</v>
      </c>
      <c r="F16" s="10" t="s">
        <v>21</v>
      </c>
      <c r="G16" s="2"/>
      <c r="H16" s="4">
        <v>45607</v>
      </c>
      <c r="I16" s="2">
        <v>182</v>
      </c>
      <c r="J16" s="2">
        <v>1.4999999999999999E-2</v>
      </c>
      <c r="K16" s="2">
        <v>6.0000000000000001E-3</v>
      </c>
      <c r="L16" s="2">
        <v>5.0000000000000001E-3</v>
      </c>
      <c r="M16" s="2">
        <v>8.9999999999999993E-3</v>
      </c>
      <c r="N16" s="1">
        <f t="shared" si="0"/>
        <v>8.7499999999999991E-3</v>
      </c>
      <c r="O16" s="2">
        <f t="shared" si="5"/>
        <v>0.33277499999999999</v>
      </c>
      <c r="P16" s="12">
        <f t="shared" si="4"/>
        <v>23.959799999999998</v>
      </c>
      <c r="Q16" s="2">
        <f t="shared" si="2"/>
        <v>0.13164725274725272</v>
      </c>
      <c r="R16">
        <f t="shared" si="3"/>
        <v>5.0594639795254706</v>
      </c>
    </row>
    <row r="17" spans="1:18" x14ac:dyDescent="0.2">
      <c r="A17" s="2">
        <v>5</v>
      </c>
      <c r="B17" s="2" t="s">
        <v>30</v>
      </c>
      <c r="C17" s="2" t="s">
        <v>31</v>
      </c>
      <c r="D17" s="13"/>
      <c r="E17" s="7" t="s">
        <v>20</v>
      </c>
      <c r="F17" s="10" t="s">
        <v>21</v>
      </c>
      <c r="G17" s="13"/>
      <c r="H17" s="4">
        <v>45607</v>
      </c>
      <c r="I17" s="2">
        <v>332</v>
      </c>
      <c r="J17" s="2">
        <v>8.1000000000000003E-2</v>
      </c>
      <c r="K17" s="2">
        <v>8.2000000000000003E-2</v>
      </c>
      <c r="L17" s="2">
        <v>9.0999999999999998E-2</v>
      </c>
      <c r="M17" s="2">
        <v>8.2000000000000003E-2</v>
      </c>
      <c r="N17" s="1">
        <f t="shared" si="0"/>
        <v>8.4000000000000005E-2</v>
      </c>
      <c r="O17" s="2">
        <f t="shared" si="5"/>
        <v>3.2178600000000004</v>
      </c>
      <c r="P17" s="12">
        <f t="shared" si="4"/>
        <v>231.68592000000004</v>
      </c>
      <c r="Q17" s="2">
        <f t="shared" si="2"/>
        <v>0.69784915662650615</v>
      </c>
      <c r="R17">
        <f t="shared" si="3"/>
        <v>26.819721622848046</v>
      </c>
    </row>
    <row r="18" spans="1:18" x14ac:dyDescent="0.2">
      <c r="A18" s="2">
        <v>6</v>
      </c>
      <c r="B18" s="2" t="s">
        <v>30</v>
      </c>
      <c r="C18" s="2" t="s">
        <v>31</v>
      </c>
      <c r="D18" s="13"/>
      <c r="E18" s="10" t="s">
        <v>22</v>
      </c>
      <c r="F18" s="10" t="s">
        <v>21</v>
      </c>
      <c r="G18" s="13"/>
      <c r="H18" s="4">
        <v>45607</v>
      </c>
      <c r="I18" s="2">
        <v>204</v>
      </c>
      <c r="J18" s="2">
        <v>1.7999999999999999E-2</v>
      </c>
      <c r="K18" s="2">
        <v>1.7999999999999999E-2</v>
      </c>
      <c r="L18" s="2">
        <v>2.8000000000000001E-2</v>
      </c>
      <c r="M18" s="2">
        <v>1.7999999999999999E-2</v>
      </c>
      <c r="N18" s="1">
        <f t="shared" si="0"/>
        <v>2.0500000000000001E-2</v>
      </c>
      <c r="O18" s="2">
        <f t="shared" si="5"/>
        <v>0.78327000000000002</v>
      </c>
      <c r="P18" s="12">
        <f t="shared" si="4"/>
        <v>56.395440000000001</v>
      </c>
      <c r="Q18" s="2">
        <f t="shared" si="2"/>
        <v>0.27644823529411766</v>
      </c>
      <c r="R18">
        <f t="shared" si="3"/>
        <v>10.624451779174391</v>
      </c>
    </row>
    <row r="19" spans="1:18" x14ac:dyDescent="0.2">
      <c r="A19" s="2">
        <v>1</v>
      </c>
      <c r="B19" s="2" t="s">
        <v>32</v>
      </c>
      <c r="C19" s="2" t="s">
        <v>33</v>
      </c>
      <c r="D19" s="13"/>
      <c r="E19" s="13"/>
      <c r="F19" s="10" t="s">
        <v>21</v>
      </c>
      <c r="G19" s="13"/>
      <c r="H19" s="4">
        <v>45607</v>
      </c>
      <c r="I19" s="2">
        <v>114</v>
      </c>
      <c r="J19" s="2">
        <v>3.2000000000000001E-2</v>
      </c>
      <c r="K19" s="2">
        <v>4.3999999999999997E-2</v>
      </c>
      <c r="L19" s="2">
        <v>3.6999999999999998E-2</v>
      </c>
      <c r="M19" s="2">
        <v>3.5000000000000003E-2</v>
      </c>
      <c r="N19" s="1">
        <f t="shared" si="0"/>
        <v>3.6999999999999998E-2</v>
      </c>
      <c r="O19" s="2">
        <f t="shared" si="5"/>
        <v>1.41588</v>
      </c>
      <c r="P19" s="12">
        <f t="shared" si="4"/>
        <v>101.94336</v>
      </c>
      <c r="Q19" s="2">
        <f t="shared" si="2"/>
        <v>0.89424000000000003</v>
      </c>
      <c r="R19">
        <f t="shared" si="3"/>
        <v>34.367409684857805</v>
      </c>
    </row>
    <row r="20" spans="1:18" x14ac:dyDescent="0.2">
      <c r="A20" s="2">
        <v>2</v>
      </c>
      <c r="B20" s="2" t="s">
        <v>32</v>
      </c>
      <c r="C20" s="2" t="s">
        <v>33</v>
      </c>
      <c r="D20" s="13"/>
      <c r="E20" s="13"/>
      <c r="F20" s="10" t="s">
        <v>21</v>
      </c>
      <c r="G20" s="13"/>
      <c r="H20" s="4">
        <v>45607</v>
      </c>
      <c r="I20" s="2">
        <v>87.1</v>
      </c>
      <c r="J20" s="2">
        <v>2.1000000000000001E-2</v>
      </c>
      <c r="K20" s="2">
        <v>1.7999999999999999E-2</v>
      </c>
      <c r="L20" s="2">
        <v>1.7999999999999999E-2</v>
      </c>
      <c r="M20" s="2">
        <v>0.02</v>
      </c>
      <c r="N20" s="1">
        <f t="shared" si="0"/>
        <v>1.925E-2</v>
      </c>
      <c r="O20" s="2">
        <f t="shared" si="5"/>
        <v>0.73534500000000003</v>
      </c>
      <c r="P20" s="12">
        <f t="shared" si="4"/>
        <v>52.944839999999999</v>
      </c>
      <c r="Q20" s="2">
        <f t="shared" si="2"/>
        <v>0.60786268656716425</v>
      </c>
      <c r="R20">
        <f t="shared" si="3"/>
        <v>23.361363818876413</v>
      </c>
    </row>
    <row r="21" spans="1:18" x14ac:dyDescent="0.2">
      <c r="A21" s="2">
        <v>3</v>
      </c>
      <c r="B21" s="2" t="s">
        <v>32</v>
      </c>
      <c r="C21" s="2" t="s">
        <v>33</v>
      </c>
      <c r="D21" s="13"/>
      <c r="E21" s="13"/>
      <c r="F21" s="10" t="s">
        <v>21</v>
      </c>
      <c r="G21" s="13"/>
      <c r="H21" s="4">
        <v>45607</v>
      </c>
      <c r="I21" s="2">
        <v>87.3</v>
      </c>
      <c r="J21" s="2">
        <v>2.5000000000000001E-2</v>
      </c>
      <c r="K21" s="2">
        <v>2.3E-2</v>
      </c>
      <c r="L21" s="2">
        <v>2.8000000000000001E-2</v>
      </c>
      <c r="M21" s="2">
        <v>2.1999999999999999E-2</v>
      </c>
      <c r="N21" s="1">
        <f t="shared" si="0"/>
        <v>2.4500000000000001E-2</v>
      </c>
      <c r="O21" s="2">
        <f t="shared" si="5"/>
        <v>0.93663000000000007</v>
      </c>
      <c r="P21" s="12">
        <f t="shared" si="4"/>
        <v>67.437360000000012</v>
      </c>
      <c r="Q21" s="2">
        <f t="shared" si="2"/>
        <v>0.7724783505154641</v>
      </c>
      <c r="R21">
        <f t="shared" si="3"/>
        <v>29.687868966774179</v>
      </c>
    </row>
    <row r="22" spans="1:18" x14ac:dyDescent="0.2">
      <c r="A22" s="2">
        <v>1</v>
      </c>
      <c r="B22" s="2" t="s">
        <v>34</v>
      </c>
      <c r="C22" s="2" t="s">
        <v>35</v>
      </c>
      <c r="D22" s="13"/>
      <c r="E22" s="13"/>
      <c r="F22" s="10" t="s">
        <v>36</v>
      </c>
      <c r="G22" s="13"/>
      <c r="H22" s="4">
        <v>45607</v>
      </c>
      <c r="I22" s="2">
        <v>33.799999999999997</v>
      </c>
      <c r="J22" s="2">
        <v>5.0000000000000001E-3</v>
      </c>
      <c r="K22" s="2">
        <v>3.0000000000000001E-3</v>
      </c>
      <c r="L22" s="2">
        <v>0</v>
      </c>
      <c r="M22" s="2">
        <v>8.0000000000000002E-3</v>
      </c>
      <c r="N22" s="1">
        <f t="shared" si="0"/>
        <v>4.0000000000000001E-3</v>
      </c>
      <c r="O22" s="2">
        <f t="shared" si="5"/>
        <v>0.15066000000000002</v>
      </c>
      <c r="P22" s="12">
        <f t="shared" si="4"/>
        <v>10.847520000000001</v>
      </c>
      <c r="Q22" s="2">
        <f t="shared" si="2"/>
        <v>0.32093254437869828</v>
      </c>
      <c r="R22">
        <f t="shared" si="3"/>
        <v>12.334071651756275</v>
      </c>
    </row>
    <row r="23" spans="1:18" x14ac:dyDescent="0.2">
      <c r="A23" s="2">
        <v>2</v>
      </c>
      <c r="B23" s="2" t="s">
        <v>34</v>
      </c>
      <c r="C23" s="2" t="s">
        <v>35</v>
      </c>
      <c r="D23" s="13"/>
      <c r="E23" s="13"/>
      <c r="F23" s="10" t="s">
        <v>36</v>
      </c>
      <c r="G23" s="13"/>
      <c r="H23" s="4">
        <v>45607</v>
      </c>
      <c r="I23" s="2">
        <v>13.1</v>
      </c>
      <c r="J23" s="2">
        <v>5.0000000000000001E-3</v>
      </c>
      <c r="K23" s="2">
        <v>0</v>
      </c>
      <c r="L23" s="2">
        <v>6.0000000000000001E-3</v>
      </c>
      <c r="M23" s="2">
        <v>7.0000000000000001E-3</v>
      </c>
      <c r="N23" s="1">
        <f t="shared" si="0"/>
        <v>4.4999999999999997E-3</v>
      </c>
      <c r="O23" s="2">
        <f t="shared" si="5"/>
        <v>0.16982999999999998</v>
      </c>
      <c r="P23" s="12">
        <f t="shared" si="4"/>
        <v>12.227759999999998</v>
      </c>
      <c r="Q23" s="2">
        <f t="shared" si="2"/>
        <v>0.9334167938931297</v>
      </c>
      <c r="R23">
        <f t="shared" si="3"/>
        <v>35.873051264147954</v>
      </c>
    </row>
    <row r="24" spans="1:18" x14ac:dyDescent="0.2">
      <c r="A24" s="2">
        <v>3</v>
      </c>
      <c r="B24" s="2" t="s">
        <v>34</v>
      </c>
      <c r="C24" s="2" t="s">
        <v>35</v>
      </c>
      <c r="D24" s="13"/>
      <c r="E24" s="13"/>
      <c r="F24" s="10" t="s">
        <v>36</v>
      </c>
      <c r="G24" s="13"/>
      <c r="H24" s="4">
        <v>45607</v>
      </c>
      <c r="I24" s="2">
        <v>10.3</v>
      </c>
      <c r="J24" s="2">
        <v>1E-3</v>
      </c>
      <c r="K24" s="2">
        <v>1E-3</v>
      </c>
      <c r="L24" s="2">
        <v>1E-3</v>
      </c>
      <c r="M24" s="2">
        <v>1E-3</v>
      </c>
      <c r="N24" s="1">
        <f t="shared" si="0"/>
        <v>1E-3</v>
      </c>
      <c r="O24" s="2">
        <f t="shared" si="5"/>
        <v>3.5640000000000005E-2</v>
      </c>
      <c r="P24" s="12">
        <f t="shared" si="4"/>
        <v>2.5660800000000004</v>
      </c>
      <c r="Q24" s="2">
        <f t="shared" si="2"/>
        <v>0.24913398058252428</v>
      </c>
      <c r="R24">
        <f t="shared" si="3"/>
        <v>9.5747110139325251</v>
      </c>
    </row>
    <row r="26" spans="1:18" x14ac:dyDescent="0.2">
      <c r="A26" s="5"/>
      <c r="B26" s="2"/>
      <c r="C26" s="2"/>
      <c r="D26" s="5"/>
      <c r="E26" s="7"/>
      <c r="F26" s="7"/>
      <c r="G26" s="5"/>
      <c r="H26" s="8"/>
      <c r="I26" s="5"/>
      <c r="J26" s="5"/>
      <c r="K26" s="5"/>
      <c r="L26" s="5"/>
      <c r="M26" s="5"/>
      <c r="N26" s="1"/>
      <c r="O26" s="5"/>
      <c r="P26" s="6"/>
      <c r="Q26" s="2"/>
    </row>
    <row r="27" spans="1:18" x14ac:dyDescent="0.2">
      <c r="A27" s="2"/>
      <c r="B27" s="2"/>
      <c r="C27" s="2"/>
      <c r="D27" s="5"/>
      <c r="E27" s="7"/>
      <c r="F27" s="7"/>
      <c r="G27" s="5"/>
      <c r="H27" s="8"/>
      <c r="I27" s="5"/>
      <c r="J27" s="5"/>
      <c r="K27" s="5"/>
      <c r="L27" s="5"/>
      <c r="M27" s="5"/>
      <c r="N27" s="1"/>
      <c r="O27" s="5"/>
      <c r="P27" s="6"/>
      <c r="Q27" s="2"/>
    </row>
    <row r="28" spans="1:18" x14ac:dyDescent="0.2">
      <c r="A28" s="2"/>
      <c r="B28" s="2"/>
      <c r="C28" s="2"/>
      <c r="D28" s="5"/>
      <c r="E28" s="7"/>
      <c r="F28" s="7"/>
      <c r="G28" s="5"/>
      <c r="H28" s="8"/>
      <c r="I28" s="5"/>
      <c r="J28" s="5"/>
      <c r="K28" s="5"/>
      <c r="L28" s="5"/>
      <c r="M28" s="5"/>
      <c r="N28" s="1"/>
      <c r="O28" s="5"/>
      <c r="P28" s="6"/>
      <c r="Q28" s="2"/>
    </row>
    <row r="29" spans="1:18" x14ac:dyDescent="0.2">
      <c r="A29" s="2"/>
      <c r="B29" s="2"/>
      <c r="C29" s="2"/>
      <c r="D29" s="5"/>
      <c r="E29" s="5"/>
      <c r="F29" s="7"/>
      <c r="G29" s="5"/>
      <c r="H29" s="8"/>
      <c r="I29" s="5"/>
      <c r="J29" s="5"/>
      <c r="K29" s="5"/>
      <c r="L29" s="5"/>
      <c r="M29" s="5"/>
      <c r="N29" s="1"/>
      <c r="O29" s="5"/>
      <c r="P29" s="6"/>
      <c r="Q29" s="2"/>
    </row>
    <row r="30" spans="1:18" x14ac:dyDescent="0.2">
      <c r="A30" s="2"/>
      <c r="B30" s="2"/>
      <c r="C30" s="2"/>
      <c r="D30" s="5"/>
      <c r="E30" s="5"/>
      <c r="F30" s="7"/>
      <c r="G30" s="5"/>
      <c r="H30" s="8"/>
      <c r="I30" s="5"/>
      <c r="J30" s="5"/>
      <c r="K30" s="5"/>
      <c r="L30" s="5"/>
      <c r="M30" s="5"/>
      <c r="N30" s="1"/>
      <c r="O30" s="5"/>
      <c r="P30" s="6"/>
      <c r="Q30" s="2"/>
    </row>
    <row r="31" spans="1:18" x14ac:dyDescent="0.2">
      <c r="A31" s="2"/>
      <c r="B31" s="2"/>
      <c r="C31" s="2"/>
      <c r="D31" s="5"/>
      <c r="E31" s="5"/>
      <c r="F31" s="7"/>
      <c r="G31" s="5"/>
      <c r="H31" s="8"/>
      <c r="I31" s="5"/>
      <c r="J31" s="5"/>
      <c r="K31" s="5"/>
      <c r="L31" s="5"/>
      <c r="M31" s="5"/>
      <c r="N31" s="1"/>
      <c r="O31" s="5"/>
      <c r="P31" s="6"/>
      <c r="Q31" s="2"/>
    </row>
    <row r="32" spans="1:18" x14ac:dyDescent="0.2">
      <c r="A32" s="2"/>
      <c r="B32" s="2"/>
      <c r="C32" s="2"/>
      <c r="D32" s="5"/>
      <c r="E32" s="5"/>
      <c r="F32" s="7"/>
      <c r="G32" s="5"/>
      <c r="H32" s="8"/>
      <c r="I32" s="5"/>
      <c r="J32" s="5"/>
      <c r="K32" s="5"/>
      <c r="L32" s="5"/>
      <c r="M32" s="5"/>
      <c r="N32" s="1"/>
      <c r="O32" s="5"/>
      <c r="P32" s="6"/>
      <c r="Q32" s="2"/>
    </row>
    <row r="33" spans="1:17" x14ac:dyDescent="0.2">
      <c r="A33" s="2"/>
      <c r="B33" s="2"/>
      <c r="C33" s="2"/>
      <c r="D33" s="5"/>
      <c r="E33" s="5"/>
      <c r="F33" s="7"/>
      <c r="G33" s="5"/>
      <c r="H33" s="8"/>
      <c r="I33" s="7"/>
      <c r="J33" s="7"/>
      <c r="K33" s="7"/>
      <c r="L33" s="7"/>
      <c r="M33" s="7"/>
      <c r="N33" s="1"/>
      <c r="O33" s="5"/>
      <c r="P33" s="6"/>
      <c r="Q33" s="2"/>
    </row>
    <row r="34" spans="1:17" x14ac:dyDescent="0.2">
      <c r="A34" s="2"/>
      <c r="B34" s="2"/>
      <c r="C34" s="2"/>
      <c r="D34" s="5"/>
      <c r="E34" s="5"/>
      <c r="F34" s="7"/>
      <c r="G34" s="5"/>
      <c r="H34" s="8"/>
      <c r="I34" s="7"/>
      <c r="J34" s="7"/>
      <c r="K34" s="7"/>
      <c r="L34" s="7"/>
      <c r="M34" s="7"/>
      <c r="N34" s="1"/>
      <c r="O34" s="5"/>
      <c r="P34" s="6"/>
      <c r="Q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Morrison</dc:creator>
  <cp:lastModifiedBy>Morrison, Colin R</cp:lastModifiedBy>
  <dcterms:created xsi:type="dcterms:W3CDTF">2025-07-21T16:34:00Z</dcterms:created>
  <dcterms:modified xsi:type="dcterms:W3CDTF">2026-04-17T19:52:15Z</dcterms:modified>
</cp:coreProperties>
</file>