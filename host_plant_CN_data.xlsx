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morrison/Documents/CRM_manuscripts_essays/Bitta_alipes_Coreidae_cyanide_chemistry/MS/"/>
    </mc:Choice>
  </mc:AlternateContent>
  <xr:revisionPtr revIDLastSave="0" documentId="13_ncr:1_{FD084423-703A-EC41-BD82-48CC3590F2AD}" xr6:coauthVersionLast="47" xr6:coauthVersionMax="47" xr10:uidLastSave="{00000000-0000-0000-0000-000000000000}"/>
  <bookViews>
    <workbookView xWindow="400" yWindow="620" windowWidth="27640" windowHeight="14300" xr2:uid="{E497A009-924C-CB41-81E0-89736FC74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2" i="1"/>
  <c r="N12" i="1"/>
  <c r="O12" i="1" s="1"/>
  <c r="P12" i="1" s="1"/>
  <c r="Q12" i="1" s="1"/>
  <c r="N11" i="1"/>
  <c r="O11" i="1" s="1"/>
  <c r="P11" i="1" s="1"/>
  <c r="Q11" i="1" s="1"/>
  <c r="N10" i="1"/>
  <c r="O10" i="1" s="1"/>
  <c r="P10" i="1" s="1"/>
  <c r="Q10" i="1" s="1"/>
  <c r="N9" i="1"/>
  <c r="O9" i="1" s="1"/>
  <c r="P9" i="1" s="1"/>
  <c r="Q9" i="1" s="1"/>
  <c r="N8" i="1"/>
  <c r="O8" i="1" s="1"/>
  <c r="P8" i="1" s="1"/>
  <c r="Q8" i="1" s="1"/>
  <c r="N7" i="1"/>
  <c r="O7" i="1" s="1"/>
  <c r="P7" i="1" s="1"/>
  <c r="Q7" i="1" s="1"/>
  <c r="N6" i="1"/>
  <c r="O6" i="1" s="1"/>
  <c r="P6" i="1" s="1"/>
  <c r="Q6" i="1" s="1"/>
  <c r="N5" i="1"/>
  <c r="O5" i="1" s="1"/>
  <c r="P5" i="1" s="1"/>
  <c r="Q5" i="1" s="1"/>
  <c r="N4" i="1"/>
  <c r="O4" i="1" s="1"/>
  <c r="P4" i="1" s="1"/>
  <c r="Q4" i="1" s="1"/>
  <c r="N14" i="1"/>
  <c r="O14" i="1" s="1"/>
  <c r="P14" i="1" s="1"/>
  <c r="Q14" i="1" s="1"/>
  <c r="N2" i="1"/>
  <c r="O2" i="1" s="1"/>
  <c r="P2" i="1" s="1"/>
  <c r="Q2" i="1" s="1"/>
  <c r="N13" i="1"/>
  <c r="O13" i="1" s="1"/>
  <c r="Q13" i="1" s="1"/>
  <c r="N3" i="1"/>
  <c r="O3" i="1" s="1"/>
  <c r="Q3" i="1" s="1"/>
</calcChain>
</file>

<file path=xl/sharedStrings.xml><?xml version="1.0" encoding="utf-8"?>
<sst xmlns="http://schemas.openxmlformats.org/spreadsheetml/2006/main" count="57" uniqueCount="30">
  <si>
    <t>number</t>
  </si>
  <si>
    <t>species</t>
  </si>
  <si>
    <t>locality</t>
  </si>
  <si>
    <t>host</t>
  </si>
  <si>
    <t>sex</t>
  </si>
  <si>
    <t>life_stage</t>
  </si>
  <si>
    <t>frozen_date</t>
  </si>
  <si>
    <t>extraction_date</t>
  </si>
  <si>
    <t>mass_mg</t>
  </si>
  <si>
    <t>abs1</t>
  </si>
  <si>
    <t>abs2</t>
  </si>
  <si>
    <t>abs3</t>
  </si>
  <si>
    <t>abs4</t>
  </si>
  <si>
    <t>absAVG</t>
  </si>
  <si>
    <t>ug</t>
  </si>
  <si>
    <t>ug_corrected</t>
  </si>
  <si>
    <t>concen_ug_mg</t>
  </si>
  <si>
    <t>O_engelmannii</t>
  </si>
  <si>
    <t>BFL_0</t>
  </si>
  <si>
    <t>host_plant</t>
  </si>
  <si>
    <t>I_vomitoria</t>
  </si>
  <si>
    <t>BFL_1</t>
  </si>
  <si>
    <t>Goliad_2</t>
  </si>
  <si>
    <t>BFL_3</t>
  </si>
  <si>
    <t>BFL_2</t>
  </si>
  <si>
    <t>La_Paloma</t>
  </si>
  <si>
    <t>Hornsby_Bend</t>
  </si>
  <si>
    <t>BFL_5</t>
  </si>
  <si>
    <t>BFL_4</t>
  </si>
  <si>
    <t>concen_umol_g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</si>
</sst>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b/>
      <sz val="10"/>
      <color rgb="FF000000"/>
      <name val="Calibri"/>
      <family val="2"/>
    </font>
    <font>
      <sz val="10"/>
      <color rgb="FF1155CC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8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E946-D16B-2343-BDC5-8E1B7889EBAD}">
  <dimension ref="A1:R20"/>
  <sheetViews>
    <sheetView tabSelected="1" workbookViewId="0">
      <selection activeCell="M25" sqref="M25"/>
    </sheetView>
  </sheetViews>
  <sheetFormatPr baseColWidth="10" defaultRowHeight="16" x14ac:dyDescent="0.2"/>
  <cols>
    <col min="18" max="18" width="12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</row>
    <row r="2" spans="1:18" x14ac:dyDescent="0.2">
      <c r="A2" s="2">
        <v>1</v>
      </c>
      <c r="B2" s="2" t="s">
        <v>17</v>
      </c>
      <c r="C2" s="2" t="s">
        <v>21</v>
      </c>
      <c r="D2" s="2"/>
      <c r="E2" s="2"/>
      <c r="F2" s="3" t="s">
        <v>19</v>
      </c>
      <c r="G2" s="2"/>
      <c r="H2" s="8">
        <v>45891</v>
      </c>
      <c r="I2" s="3">
        <v>98.8</v>
      </c>
      <c r="J2" s="3">
        <v>2.4E-2</v>
      </c>
      <c r="K2" s="3">
        <v>2.5000000000000001E-2</v>
      </c>
      <c r="L2" s="3">
        <v>2.5000000000000001E-2</v>
      </c>
      <c r="M2" s="3">
        <v>2.4E-2</v>
      </c>
      <c r="N2" s="1">
        <f t="shared" ref="N2:N14" si="0">AVERAGE(J2:M2)</f>
        <v>2.4500000000000001E-2</v>
      </c>
      <c r="O2" s="2">
        <f>(38.34*N2)-0.0027</f>
        <v>0.93663000000000007</v>
      </c>
      <c r="P2" s="9">
        <f t="shared" ref="P2:P14" si="1">O2*88</f>
        <v>82.423439999999999</v>
      </c>
      <c r="Q2" s="2">
        <f t="shared" ref="Q2:Q14" si="2">P2/I2</f>
        <v>0.83424534412955464</v>
      </c>
      <c r="R2">
        <f>Q2*(1000/26.02)</f>
        <v>32.06169654610126</v>
      </c>
    </row>
    <row r="3" spans="1:18" x14ac:dyDescent="0.2">
      <c r="A3" s="2">
        <v>0</v>
      </c>
      <c r="B3" s="2" t="s">
        <v>17</v>
      </c>
      <c r="C3" s="2" t="s">
        <v>18</v>
      </c>
      <c r="D3" s="3"/>
      <c r="E3" s="2"/>
      <c r="F3" s="3" t="s">
        <v>19</v>
      </c>
      <c r="G3" s="2"/>
      <c r="H3" s="8">
        <v>45607</v>
      </c>
      <c r="I3" s="2">
        <v>98</v>
      </c>
      <c r="J3" s="2">
        <v>-2E-3</v>
      </c>
      <c r="K3" s="2">
        <v>0</v>
      </c>
      <c r="L3" s="2">
        <v>-1E-3</v>
      </c>
      <c r="M3" s="2">
        <v>1E-3</v>
      </c>
      <c r="N3" s="1">
        <f t="shared" si="0"/>
        <v>-5.0000000000000001E-4</v>
      </c>
      <c r="O3" s="2">
        <f>(38.34*N3)-0.0027</f>
        <v>-2.1870000000000004E-2</v>
      </c>
      <c r="P3" s="9">
        <v>0</v>
      </c>
      <c r="Q3" s="2">
        <f t="shared" si="2"/>
        <v>0</v>
      </c>
      <c r="R3">
        <f t="shared" ref="R3:R14" si="3">Q3*(1000/26.02)</f>
        <v>0</v>
      </c>
    </row>
    <row r="4" spans="1:18" x14ac:dyDescent="0.2">
      <c r="A4" s="2">
        <v>1</v>
      </c>
      <c r="B4" s="2" t="s">
        <v>17</v>
      </c>
      <c r="C4" s="2" t="s">
        <v>22</v>
      </c>
      <c r="D4" s="2"/>
      <c r="E4" s="2"/>
      <c r="F4" s="3" t="s">
        <v>19</v>
      </c>
      <c r="G4" s="2"/>
      <c r="H4" s="8">
        <v>45985</v>
      </c>
      <c r="I4" s="3">
        <v>68</v>
      </c>
      <c r="J4" s="3">
        <v>6.0000000000000001E-3</v>
      </c>
      <c r="K4" s="3">
        <v>7.0000000000000001E-3</v>
      </c>
      <c r="L4" s="3">
        <v>1.4999999999999999E-2</v>
      </c>
      <c r="M4" s="3">
        <v>1.4999999999999999E-2</v>
      </c>
      <c r="N4" s="1">
        <f t="shared" si="0"/>
        <v>1.0749999999999999E-2</v>
      </c>
      <c r="O4" s="2">
        <f t="shared" ref="O4:O12" si="4">(62.83*N4)-0.0289</f>
        <v>0.64652249999999989</v>
      </c>
      <c r="P4" s="9">
        <f t="shared" si="1"/>
        <v>56.893979999999992</v>
      </c>
      <c r="Q4" s="2">
        <f t="shared" si="2"/>
        <v>0.83667617647058812</v>
      </c>
      <c r="R4">
        <f t="shared" si="3"/>
        <v>32.155118234841972</v>
      </c>
    </row>
    <row r="5" spans="1:18" x14ac:dyDescent="0.2">
      <c r="A5" s="2">
        <v>2</v>
      </c>
      <c r="B5" s="2" t="s">
        <v>17</v>
      </c>
      <c r="C5" s="2" t="s">
        <v>23</v>
      </c>
      <c r="D5" s="2"/>
      <c r="E5" s="2"/>
      <c r="F5" s="3" t="s">
        <v>19</v>
      </c>
      <c r="G5" s="2"/>
      <c r="H5" s="8">
        <v>45985</v>
      </c>
      <c r="I5" s="2">
        <v>132</v>
      </c>
      <c r="J5" s="2">
        <v>7.0000000000000001E-3</v>
      </c>
      <c r="K5" s="2">
        <v>7.0000000000000001E-3</v>
      </c>
      <c r="L5" s="2">
        <v>1.4E-2</v>
      </c>
      <c r="M5" s="2">
        <v>7.0000000000000001E-3</v>
      </c>
      <c r="N5" s="1">
        <f t="shared" si="0"/>
        <v>8.7500000000000008E-3</v>
      </c>
      <c r="O5" s="2">
        <f t="shared" si="4"/>
        <v>0.52086250000000001</v>
      </c>
      <c r="P5" s="9">
        <f t="shared" si="1"/>
        <v>45.835900000000002</v>
      </c>
      <c r="Q5" s="2">
        <f t="shared" si="2"/>
        <v>0.34724166666666667</v>
      </c>
      <c r="R5">
        <f t="shared" si="3"/>
        <v>13.345183192416091</v>
      </c>
    </row>
    <row r="6" spans="1:18" x14ac:dyDescent="0.2">
      <c r="A6" s="2">
        <v>3</v>
      </c>
      <c r="B6" s="2" t="s">
        <v>17</v>
      </c>
      <c r="C6" s="2" t="s">
        <v>24</v>
      </c>
      <c r="D6" s="2"/>
      <c r="E6" s="2"/>
      <c r="F6" s="3" t="s">
        <v>19</v>
      </c>
      <c r="G6" s="2"/>
      <c r="H6" s="8">
        <v>45985</v>
      </c>
      <c r="I6" s="2">
        <v>101</v>
      </c>
      <c r="J6" s="2">
        <v>6.0000000000000001E-3</v>
      </c>
      <c r="K6" s="2">
        <v>5.0000000000000001E-3</v>
      </c>
      <c r="L6" s="2">
        <v>3.0000000000000001E-3</v>
      </c>
      <c r="M6" s="2">
        <v>0.01</v>
      </c>
      <c r="N6" s="1">
        <f t="shared" si="0"/>
        <v>6.0000000000000001E-3</v>
      </c>
      <c r="O6" s="2">
        <f t="shared" si="4"/>
        <v>0.34808</v>
      </c>
      <c r="P6" s="9">
        <f t="shared" si="1"/>
        <v>30.631039999999999</v>
      </c>
      <c r="Q6" s="2">
        <f t="shared" si="2"/>
        <v>0.30327762376237621</v>
      </c>
      <c r="R6">
        <f t="shared" si="3"/>
        <v>11.65555817687841</v>
      </c>
    </row>
    <row r="7" spans="1:18" x14ac:dyDescent="0.2">
      <c r="A7" s="2">
        <v>4</v>
      </c>
      <c r="B7" s="2" t="s">
        <v>17</v>
      </c>
      <c r="C7" s="2" t="s">
        <v>25</v>
      </c>
      <c r="D7" s="2"/>
      <c r="E7" s="2"/>
      <c r="F7" s="3" t="s">
        <v>19</v>
      </c>
      <c r="G7" s="2"/>
      <c r="H7" s="8">
        <v>45985</v>
      </c>
      <c r="I7" s="2">
        <v>93</v>
      </c>
      <c r="J7" s="2">
        <v>1.4999999999999999E-2</v>
      </c>
      <c r="K7" s="2">
        <v>8.9999999999999993E-3</v>
      </c>
      <c r="L7" s="2">
        <v>1.4999999999999999E-2</v>
      </c>
      <c r="M7" s="2">
        <v>0.01</v>
      </c>
      <c r="N7" s="1">
        <f t="shared" si="0"/>
        <v>1.225E-2</v>
      </c>
      <c r="O7" s="2">
        <f t="shared" si="4"/>
        <v>0.74076750000000002</v>
      </c>
      <c r="P7" s="9">
        <f t="shared" si="1"/>
        <v>65.187539999999998</v>
      </c>
      <c r="Q7" s="2">
        <f t="shared" si="2"/>
        <v>0.70094129032258068</v>
      </c>
      <c r="R7">
        <f t="shared" si="3"/>
        <v>26.938558429000029</v>
      </c>
    </row>
    <row r="8" spans="1:18" x14ac:dyDescent="0.2">
      <c r="A8" s="2">
        <v>5</v>
      </c>
      <c r="B8" s="2" t="s">
        <v>17</v>
      </c>
      <c r="C8" s="2" t="s">
        <v>26</v>
      </c>
      <c r="D8" s="2"/>
      <c r="E8" s="2"/>
      <c r="F8" s="3" t="s">
        <v>19</v>
      </c>
      <c r="G8" s="2"/>
      <c r="H8" s="8">
        <v>45985</v>
      </c>
      <c r="I8" s="2">
        <v>55</v>
      </c>
      <c r="J8" s="2">
        <v>6.0000000000000001E-3</v>
      </c>
      <c r="K8" s="2">
        <v>1.4999999999999999E-2</v>
      </c>
      <c r="L8" s="2">
        <v>4.0000000000000001E-3</v>
      </c>
      <c r="M8" s="2">
        <v>8.0000000000000002E-3</v>
      </c>
      <c r="N8" s="1">
        <f t="shared" si="0"/>
        <v>8.2500000000000004E-3</v>
      </c>
      <c r="O8" s="2">
        <f t="shared" si="4"/>
        <v>0.48944749999999998</v>
      </c>
      <c r="P8" s="9">
        <f t="shared" si="1"/>
        <v>43.071379999999998</v>
      </c>
      <c r="Q8" s="2">
        <f t="shared" si="2"/>
        <v>0.78311599999999992</v>
      </c>
      <c r="R8">
        <f t="shared" si="3"/>
        <v>30.096694850115295</v>
      </c>
    </row>
    <row r="9" spans="1:18" x14ac:dyDescent="0.2">
      <c r="A9" s="2">
        <v>6</v>
      </c>
      <c r="B9" s="3" t="s">
        <v>20</v>
      </c>
      <c r="C9" s="2" t="s">
        <v>24</v>
      </c>
      <c r="D9" s="2"/>
      <c r="E9" s="2"/>
      <c r="F9" s="3" t="s">
        <v>19</v>
      </c>
      <c r="G9" s="2"/>
      <c r="H9" s="8">
        <v>45985</v>
      </c>
      <c r="I9" s="2">
        <v>84</v>
      </c>
      <c r="J9" s="2">
        <v>2.5999999999999999E-2</v>
      </c>
      <c r="K9" s="2">
        <v>2.5999999999999999E-2</v>
      </c>
      <c r="L9" s="2">
        <v>2.5999999999999999E-2</v>
      </c>
      <c r="M9" s="2">
        <v>2.5999999999999999E-2</v>
      </c>
      <c r="N9" s="1">
        <f t="shared" si="0"/>
        <v>2.5999999999999999E-2</v>
      </c>
      <c r="O9" s="2">
        <f t="shared" si="4"/>
        <v>1.6046799999999999</v>
      </c>
      <c r="P9" s="9">
        <f t="shared" si="1"/>
        <v>141.21184</v>
      </c>
      <c r="Q9" s="2">
        <f t="shared" si="2"/>
        <v>1.6810933333333333</v>
      </c>
      <c r="R9">
        <f t="shared" si="3"/>
        <v>64.607737637714578</v>
      </c>
    </row>
    <row r="10" spans="1:18" x14ac:dyDescent="0.2">
      <c r="A10" s="2">
        <v>7</v>
      </c>
      <c r="B10" s="3" t="s">
        <v>20</v>
      </c>
      <c r="C10" s="2" t="s">
        <v>27</v>
      </c>
      <c r="D10" s="2"/>
      <c r="E10" s="2"/>
      <c r="F10" s="3" t="s">
        <v>19</v>
      </c>
      <c r="G10" s="2"/>
      <c r="H10" s="8">
        <v>45985</v>
      </c>
      <c r="I10" s="2">
        <v>81</v>
      </c>
      <c r="J10" s="2">
        <v>0.02</v>
      </c>
      <c r="K10" s="2">
        <v>3.1E-2</v>
      </c>
      <c r="L10" s="2">
        <v>3.1E-2</v>
      </c>
      <c r="M10" s="2">
        <v>3.1E-2</v>
      </c>
      <c r="N10" s="1">
        <f t="shared" si="0"/>
        <v>2.8250000000000001E-2</v>
      </c>
      <c r="O10" s="2">
        <f t="shared" si="4"/>
        <v>1.7460475</v>
      </c>
      <c r="P10" s="9">
        <f t="shared" si="1"/>
        <v>153.65217999999999</v>
      </c>
      <c r="Q10" s="2">
        <f t="shared" si="2"/>
        <v>1.8969404938271603</v>
      </c>
      <c r="R10">
        <f t="shared" si="3"/>
        <v>72.903170400736371</v>
      </c>
    </row>
    <row r="11" spans="1:18" x14ac:dyDescent="0.2">
      <c r="A11" s="2">
        <v>8</v>
      </c>
      <c r="B11" s="3" t="s">
        <v>20</v>
      </c>
      <c r="C11" s="2" t="s">
        <v>23</v>
      </c>
      <c r="D11" s="2"/>
      <c r="E11" s="2"/>
      <c r="F11" s="3" t="s">
        <v>19</v>
      </c>
      <c r="G11" s="2"/>
      <c r="H11" s="8">
        <v>45985</v>
      </c>
      <c r="I11" s="2">
        <v>80</v>
      </c>
      <c r="J11" s="2">
        <v>1.7000000000000001E-2</v>
      </c>
      <c r="K11" s="2">
        <v>1.9E-2</v>
      </c>
      <c r="L11" s="2">
        <v>0.01</v>
      </c>
      <c r="M11" s="2">
        <v>1.9E-2</v>
      </c>
      <c r="N11" s="1">
        <f t="shared" si="0"/>
        <v>1.6250000000000001E-2</v>
      </c>
      <c r="O11" s="2">
        <f t="shared" si="4"/>
        <v>0.9920874999999999</v>
      </c>
      <c r="P11" s="9">
        <f t="shared" si="1"/>
        <v>87.303699999999992</v>
      </c>
      <c r="Q11" s="2">
        <f t="shared" si="2"/>
        <v>1.0912962499999999</v>
      </c>
      <c r="R11">
        <f t="shared" si="3"/>
        <v>41.94067063797079</v>
      </c>
    </row>
    <row r="12" spans="1:18" x14ac:dyDescent="0.2">
      <c r="A12" s="2">
        <v>9</v>
      </c>
      <c r="B12" s="3" t="s">
        <v>20</v>
      </c>
      <c r="C12" s="2" t="s">
        <v>28</v>
      </c>
      <c r="D12" s="2"/>
      <c r="E12" s="2"/>
      <c r="F12" s="3" t="s">
        <v>19</v>
      </c>
      <c r="G12" s="2"/>
      <c r="H12" s="8">
        <v>45985</v>
      </c>
      <c r="I12" s="2">
        <v>67</v>
      </c>
      <c r="J12" s="2">
        <v>1.6E-2</v>
      </c>
      <c r="K12" s="2">
        <v>2.8000000000000001E-2</v>
      </c>
      <c r="L12" s="2">
        <v>1.6E-2</v>
      </c>
      <c r="M12" s="2">
        <v>1.6E-2</v>
      </c>
      <c r="N12" s="1">
        <f t="shared" si="0"/>
        <v>1.9E-2</v>
      </c>
      <c r="O12" s="2">
        <f t="shared" si="4"/>
        <v>1.1648700000000001</v>
      </c>
      <c r="P12" s="9">
        <f t="shared" si="1"/>
        <v>102.50856</v>
      </c>
      <c r="Q12" s="2">
        <f t="shared" si="2"/>
        <v>1.5299785074626866</v>
      </c>
      <c r="R12">
        <f t="shared" si="3"/>
        <v>58.800096366744299</v>
      </c>
    </row>
    <row r="13" spans="1:18" x14ac:dyDescent="0.2">
      <c r="A13" s="2">
        <v>0</v>
      </c>
      <c r="B13" s="3" t="s">
        <v>20</v>
      </c>
      <c r="C13" s="2" t="s">
        <v>18</v>
      </c>
      <c r="D13" s="3"/>
      <c r="E13" s="2"/>
      <c r="F13" s="3" t="s">
        <v>19</v>
      </c>
      <c r="G13" s="2"/>
      <c r="H13" s="8">
        <v>45607</v>
      </c>
      <c r="I13" s="2">
        <v>79</v>
      </c>
      <c r="J13" s="2">
        <v>-1E-3</v>
      </c>
      <c r="K13" s="2">
        <v>0</v>
      </c>
      <c r="L13" s="2">
        <v>-1E-3</v>
      </c>
      <c r="M13" s="2">
        <v>1E-3</v>
      </c>
      <c r="N13" s="1">
        <f t="shared" si="0"/>
        <v>-2.5000000000000001E-4</v>
      </c>
      <c r="O13" s="2">
        <f>(38.34*N13)-0.0027</f>
        <v>-1.2285000000000001E-2</v>
      </c>
      <c r="P13" s="9">
        <v>0</v>
      </c>
      <c r="Q13" s="2">
        <f t="shared" si="2"/>
        <v>0</v>
      </c>
      <c r="R13">
        <f t="shared" si="3"/>
        <v>0</v>
      </c>
    </row>
    <row r="14" spans="1:18" x14ac:dyDescent="0.2">
      <c r="A14" s="2">
        <v>2</v>
      </c>
      <c r="B14" s="3" t="s">
        <v>20</v>
      </c>
      <c r="C14" s="2" t="s">
        <v>21</v>
      </c>
      <c r="D14" s="2"/>
      <c r="E14" s="2"/>
      <c r="F14" s="3" t="s">
        <v>19</v>
      </c>
      <c r="G14" s="2"/>
      <c r="H14" s="8">
        <v>45891</v>
      </c>
      <c r="I14" s="3">
        <v>101.5</v>
      </c>
      <c r="J14" s="3">
        <v>4.5999999999999999E-2</v>
      </c>
      <c r="K14" s="3">
        <v>4.2999999999999997E-2</v>
      </c>
      <c r="L14" s="3">
        <v>4.2999999999999997E-2</v>
      </c>
      <c r="M14" s="3">
        <v>4.2999999999999997E-2</v>
      </c>
      <c r="N14" s="1">
        <f t="shared" si="0"/>
        <v>4.3749999999999997E-2</v>
      </c>
      <c r="O14" s="2">
        <f>(62.83*N14)-0.0289</f>
        <v>2.7199124999999995</v>
      </c>
      <c r="P14" s="9">
        <f t="shared" si="1"/>
        <v>239.35229999999996</v>
      </c>
      <c r="Q14" s="2">
        <f t="shared" si="2"/>
        <v>2.3581507389162559</v>
      </c>
      <c r="R14">
        <f t="shared" si="3"/>
        <v>90.628391195859194</v>
      </c>
    </row>
    <row r="18" spans="3:12" x14ac:dyDescent="0.2">
      <c r="C18" s="4"/>
      <c r="D18" s="4"/>
      <c r="E18" s="4"/>
      <c r="F18" s="4"/>
      <c r="I18" s="4"/>
      <c r="J18" s="4"/>
      <c r="K18" s="4"/>
      <c r="L18" s="4"/>
    </row>
    <row r="19" spans="3:12" x14ac:dyDescent="0.2">
      <c r="C19" s="5"/>
      <c r="D19" s="4"/>
      <c r="E19" s="4"/>
      <c r="F19" s="4"/>
      <c r="I19" s="5"/>
      <c r="J19" s="4"/>
      <c r="K19" s="4"/>
      <c r="L19" s="4"/>
    </row>
    <row r="20" spans="3:12" x14ac:dyDescent="0.2">
      <c r="C20" s="6"/>
      <c r="D20" s="4"/>
      <c r="E20" s="4"/>
      <c r="F20" s="4"/>
      <c r="I20" s="6"/>
      <c r="J20" s="4"/>
      <c r="K20" s="4"/>
      <c r="L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Colin R</dc:creator>
  <cp:lastModifiedBy>Colin Morrison</cp:lastModifiedBy>
  <dcterms:created xsi:type="dcterms:W3CDTF">2025-11-30T07:54:38Z</dcterms:created>
  <dcterms:modified xsi:type="dcterms:W3CDTF">2026-04-17T20:16:27Z</dcterms:modified>
</cp:coreProperties>
</file>